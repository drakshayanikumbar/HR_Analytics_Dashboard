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rakshayani\OneDrive\Desktop\"/>
    </mc:Choice>
  </mc:AlternateContent>
  <xr:revisionPtr revIDLastSave="0" documentId="13_ncr:1_{5339E8B0-7BC9-4274-A927-92EE8AB7BC54}" xr6:coauthVersionLast="47" xr6:coauthVersionMax="47" xr10:uidLastSave="{00000000-0000-0000-0000-000000000000}"/>
  <bookViews>
    <workbookView xWindow="-108" yWindow="-108" windowWidth="23256" windowHeight="12456" activeTab="1" xr2:uid="{00000000-000D-0000-FFFF-FFFF00000000}"/>
  </bookViews>
  <sheets>
    <sheet name="KPI" sheetId="2" r:id="rId1"/>
    <sheet name="Sheet2" sheetId="3" r:id="rId2"/>
    <sheet name="Rating" sheetId="5" r:id="rId3"/>
    <sheet name="Data" sheetId="1" r:id="rId4"/>
  </sheets>
  <definedNames>
    <definedName name="Slicer_Gender">#N/A</definedName>
    <definedName name="Slicer_Gende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8" i="2" l="1"/>
  <c r="D8" i="2"/>
  <c r="C8" i="2"/>
  <c r="B8" i="2"/>
  <c r="A8" i="2"/>
  <c r="B7" i="5"/>
  <c r="B6" i="5"/>
  <c r="C6" i="5" l="1"/>
  <c r="C7" i="5"/>
</calcChain>
</file>

<file path=xl/sharedStrings.xml><?xml version="1.0" encoding="utf-8"?>
<sst xmlns="http://schemas.openxmlformats.org/spreadsheetml/2006/main" count="19165" uniqueCount="1565">
  <si>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</si>
  <si>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</si>
  <si>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</si>
  <si>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</si>
  <si>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</si>
  <si>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</si>
  <si>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</si>
  <si>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</si>
  <si>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</si>
  <si>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</si>
  <si>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</si>
  <si>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</si>
  <si>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</si>
  <si>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</si>
  <si>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</si>
  <si>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</si>
  <si>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</si>
  <si>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</si>
  <si>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</si>
  <si>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</si>
  <si>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</si>
  <si>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</si>
  <si>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</si>
  <si>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</si>
  <si>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</si>
  <si>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</si>
  <si>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</si>
  <si>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</si>
  <si>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</si>
  <si>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</si>
  <si>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</si>
  <si>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</si>
  <si>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</si>
  <si>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</si>
  <si>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</si>
  <si>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</si>
  <si>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</si>
  <si>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</si>
  <si>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</si>
  <si>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</si>
  <si>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</si>
  <si>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</si>
  <si>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</si>
  <si>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</si>
  <si>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</si>
  <si>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</si>
  <si>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</si>
  <si>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</si>
  <si>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</si>
  <si>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</si>
  <si>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</si>
  <si>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</si>
  <si>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</si>
  <si>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</si>
  <si>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</si>
  <si>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</si>
  <si>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</si>
  <si>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</si>
  <si>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</si>
  <si>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</si>
  <si>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</si>
  <si>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</si>
  <si>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</si>
  <si>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</si>
  <si>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</si>
  <si>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</si>
  <si>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</si>
  <si>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</si>
  <si>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</si>
  <si>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</si>
  <si>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</si>
  <si>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</si>
  <si>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</si>
  <si>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</si>
  <si>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</si>
  <si>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</si>
  <si>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</si>
  <si>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</si>
  <si>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</si>
  <si>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</si>
  <si>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</si>
  <si>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</si>
  <si>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</si>
  <si>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</si>
  <si>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</si>
  <si>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</si>
  <si>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</si>
  <si>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</si>
  <si>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</si>
  <si>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</si>
  <si>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</si>
  <si>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</si>
  <si>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</si>
  <si>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</si>
  <si>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</si>
  <si>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</si>
  <si>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</si>
  <si>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</si>
  <si>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</si>
  <si>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</si>
  <si>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</si>
  <si>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</si>
  <si>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</si>
  <si>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</si>
  <si>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</si>
  <si>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</si>
  <si>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</si>
  <si>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</si>
  <si>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</si>
  <si>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</si>
  <si>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</si>
  <si>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</si>
  <si>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</si>
  <si>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</si>
  <si>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</si>
  <si>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</si>
  <si>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</si>
  <si>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</si>
  <si>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</si>
  <si>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</si>
  <si>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</si>
  <si>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</si>
  <si>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</si>
  <si>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</si>
  <si>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</si>
  <si>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</si>
  <si>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</si>
  <si>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</si>
  <si>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</si>
  <si>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</si>
  <si>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</si>
  <si>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</si>
  <si>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</si>
  <si>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</si>
  <si>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</si>
  <si>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</si>
  <si>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</si>
  <si>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</si>
  <si>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</si>
  <si>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</si>
  <si>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</si>
  <si>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</si>
  <si>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</si>
  <si>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</si>
  <si>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</si>
  <si>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</si>
  <si>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</si>
  <si>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</si>
  <si>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</si>
  <si>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</si>
  <si>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</si>
  <si>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</si>
  <si>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</si>
  <si>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</si>
  <si>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</si>
  <si>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</si>
  <si>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</si>
  <si>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</si>
  <si>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</si>
  <si>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</si>
  <si>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</si>
  <si>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</si>
  <si>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</si>
  <si>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</si>
  <si>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</si>
  <si>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</si>
  <si>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</si>
  <si>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</si>
  <si>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</si>
  <si>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</si>
  <si>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</si>
  <si>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</si>
  <si>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</si>
  <si>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</si>
  <si>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</si>
  <si>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</si>
  <si>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</si>
  <si>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</si>
  <si>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</si>
  <si>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</si>
  <si>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</si>
  <si>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</si>
  <si>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</si>
  <si>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</si>
  <si>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</si>
  <si>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</si>
  <si>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</si>
  <si>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</si>
  <si>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</si>
  <si>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</si>
  <si>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</si>
  <si>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</si>
  <si>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</si>
  <si>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</si>
  <si>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</si>
  <si>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</si>
  <si>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</si>
  <si>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</si>
  <si>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</si>
  <si>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</si>
  <si>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</si>
  <si>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</si>
  <si>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</si>
  <si>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</si>
  <si>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</si>
  <si>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</si>
  <si>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</si>
  <si>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</si>
  <si>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</si>
  <si>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</si>
  <si>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</si>
  <si>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</si>
  <si>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</si>
  <si>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</si>
  <si>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</si>
  <si>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</si>
  <si>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</si>
  <si>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</si>
  <si>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</si>
  <si>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</si>
  <si>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</si>
  <si>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</si>
  <si>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</si>
  <si>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</si>
  <si>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</si>
  <si>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</si>
  <si>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</si>
  <si>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</si>
  <si>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</si>
  <si>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</si>
  <si>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</si>
  <si>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</si>
  <si>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</si>
  <si>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</si>
  <si>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</si>
  <si>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</si>
  <si>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</si>
  <si>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</si>
  <si>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</si>
  <si>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</si>
  <si>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</si>
  <si>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</si>
  <si>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</si>
  <si>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</si>
  <si>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</si>
  <si>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</si>
  <si>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</si>
  <si>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</si>
  <si>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</si>
  <si>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</si>
  <si>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</si>
  <si>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</si>
  <si>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</si>
  <si>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</si>
  <si>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</si>
  <si>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</si>
  <si>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</si>
  <si>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</si>
  <si>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</si>
  <si>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</si>
  <si>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</si>
  <si>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</si>
  <si>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</si>
  <si>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</si>
  <si>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</si>
  <si>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</si>
  <si>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</si>
  <si>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</si>
  <si>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</si>
  <si>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</si>
  <si>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</si>
  <si>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</si>
  <si>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</si>
  <si>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</si>
  <si>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</si>
  <si>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</si>
  <si>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</si>
  <si>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</si>
  <si>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</si>
  <si>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</si>
  <si>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</si>
  <si>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</si>
  <si>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</si>
  <si>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</si>
  <si>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</si>
  <si>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</si>
  <si>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</si>
  <si>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</si>
  <si>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</si>
  <si>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</si>
  <si>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</si>
  <si>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</si>
  <si>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</si>
  <si>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</si>
  <si>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</si>
  <si>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</si>
  <si>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</si>
  <si>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</si>
  <si>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</si>
  <si>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</si>
  <si>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</si>
  <si>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</si>
  <si>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</si>
  <si>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</si>
  <si>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</si>
  <si>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</si>
  <si>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</si>
  <si>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</si>
  <si>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</si>
  <si>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</si>
  <si>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</si>
  <si>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</si>
  <si>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</si>
  <si>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</si>
  <si>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</si>
  <si>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</si>
  <si>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</si>
  <si>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</si>
  <si>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</si>
  <si>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</si>
  <si>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</si>
  <si>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</si>
  <si>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</si>
  <si>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</si>
  <si>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</si>
  <si>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</si>
  <si>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</si>
  <si>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</si>
  <si>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</si>
  <si>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</si>
  <si>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</si>
  <si>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</si>
  <si>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</si>
  <si>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</si>
  <si>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</si>
  <si>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</si>
  <si>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</si>
  <si>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</si>
  <si>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</si>
  <si>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</si>
  <si>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</si>
  <si>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</si>
  <si>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</si>
  <si>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</si>
  <si>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</si>
  <si>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</si>
  <si>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</si>
  <si>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</si>
  <si>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</si>
  <si>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</si>
  <si>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</si>
  <si>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</si>
  <si>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</si>
  <si>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</si>
  <si>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</si>
  <si>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</si>
  <si>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</si>
  <si>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</si>
  <si>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</si>
  <si>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</si>
  <si>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</si>
  <si>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</si>
  <si>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</si>
  <si>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</si>
  <si>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</si>
  <si>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</si>
  <si>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</si>
  <si>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</si>
  <si>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</si>
  <si>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</si>
  <si>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</si>
  <si>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</si>
  <si>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</si>
  <si>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</si>
  <si>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</si>
  <si>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</si>
  <si>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</si>
  <si>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</si>
  <si>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</si>
  <si>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</si>
  <si>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</si>
  <si>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</si>
  <si>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</si>
  <si>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</si>
  <si>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</si>
  <si>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</si>
  <si>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</si>
  <si>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</si>
  <si>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</si>
  <si>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</si>
  <si>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</si>
  <si>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</si>
  <si>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</si>
  <si>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</si>
  <si>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</si>
  <si>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</si>
  <si>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</si>
  <si>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</si>
  <si>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</si>
  <si>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</si>
  <si>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</si>
  <si>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</si>
  <si>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</si>
  <si>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</si>
  <si>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</si>
  <si>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</si>
  <si>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</si>
  <si>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</si>
  <si>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</si>
  <si>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</si>
  <si>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</si>
  <si>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</si>
  <si>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</si>
  <si>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</si>
  <si>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</si>
  <si>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</si>
  <si>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</si>
  <si>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</si>
  <si>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</si>
  <si>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</si>
  <si>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</si>
  <si>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</si>
  <si>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</si>
  <si>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</si>
  <si>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</si>
  <si>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</si>
  <si>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</si>
  <si>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</si>
  <si>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</si>
  <si>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</si>
  <si>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</si>
  <si>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</si>
  <si>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</si>
  <si>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</si>
  <si>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</si>
  <si>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</si>
  <si>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</si>
  <si>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</si>
  <si>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</si>
  <si>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</si>
  <si>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</si>
  <si>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</si>
  <si>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</si>
  <si>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</si>
  <si>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</si>
  <si>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</si>
  <si>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</si>
  <si>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</si>
  <si>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</si>
  <si>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</si>
  <si>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</si>
  <si>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</si>
  <si>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</si>
  <si>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</si>
  <si>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</si>
  <si>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</si>
  <si>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</si>
  <si>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</si>
  <si>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</si>
  <si>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</si>
  <si>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</si>
  <si>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</si>
  <si>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</si>
  <si>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</si>
  <si>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</si>
  <si>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</si>
  <si>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</si>
  <si>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</si>
  <si>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</si>
  <si>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</si>
  <si>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</si>
  <si>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</si>
  <si>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</si>
  <si>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</si>
  <si>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</si>
  <si>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</si>
  <si>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</si>
  <si>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</si>
  <si>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</si>
  <si>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</si>
  <si>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</si>
  <si>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</si>
  <si>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</si>
  <si>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</si>
  <si>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</si>
  <si>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</si>
  <si>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</si>
  <si>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</si>
  <si>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</si>
  <si>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</si>
  <si>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</si>
  <si>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</si>
  <si>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</si>
  <si>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</si>
  <si>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</si>
  <si>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</si>
  <si>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</si>
  <si>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</si>
  <si>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</si>
  <si>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</si>
  <si>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</si>
  <si>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</si>
  <si>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</si>
  <si>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</si>
  <si>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</si>
  <si>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</si>
  <si>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</si>
  <si>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</si>
  <si>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</si>
  <si>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</si>
  <si>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</si>
  <si>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</si>
  <si>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</si>
  <si>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</si>
  <si>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</si>
  <si>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</si>
  <si>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</si>
  <si>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</si>
  <si>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</si>
  <si>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</si>
  <si>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</si>
  <si>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</si>
  <si>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</si>
  <si>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</si>
  <si>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</si>
  <si>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</si>
  <si>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</si>
  <si>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</si>
  <si>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</si>
  <si>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</si>
  <si>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</si>
  <si>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</si>
  <si>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</si>
  <si>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</si>
  <si>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</si>
  <si>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</si>
  <si>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</si>
  <si>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</si>
  <si>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</si>
  <si>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</si>
  <si>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</si>
  <si>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</si>
  <si>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</si>
  <si>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</si>
  <si>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</si>
  <si>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</si>
  <si>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</si>
  <si>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</si>
  <si>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</si>
  <si>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</si>
  <si>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</si>
  <si>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</si>
  <si>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</si>
  <si>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</si>
  <si>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</si>
  <si>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</si>
  <si>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</si>
  <si>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</si>
  <si>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</si>
  <si>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</si>
  <si>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</si>
  <si>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</si>
  <si>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</si>
  <si>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</si>
  <si>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</si>
  <si>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</si>
  <si>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</si>
  <si>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</si>
  <si>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</si>
  <si>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</si>
  <si>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</si>
  <si>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</si>
  <si>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</si>
  <si>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</si>
  <si>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</si>
  <si>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</si>
  <si>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</si>
  <si>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</si>
  <si>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</si>
  <si>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</si>
  <si>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</si>
  <si>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</si>
  <si>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</si>
  <si>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</si>
  <si>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</si>
  <si>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</si>
  <si>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</si>
  <si>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</si>
  <si>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</si>
  <si>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</si>
  <si>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</si>
  <si>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</si>
  <si>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</si>
  <si>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</si>
  <si>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</si>
  <si>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</si>
  <si>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</si>
  <si>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</si>
  <si>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</si>
  <si>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</si>
  <si>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</si>
  <si>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</si>
  <si>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</si>
  <si>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</si>
  <si>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</si>
  <si>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</si>
  <si>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</si>
  <si>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</si>
  <si>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</si>
  <si>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</si>
  <si>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</si>
  <si>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</si>
  <si>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</si>
  <si>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</si>
  <si>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</si>
  <si>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</si>
  <si>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</si>
  <si>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</si>
  <si>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</si>
  <si>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</si>
  <si>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</si>
  <si>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</si>
  <si>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</si>
  <si>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</si>
  <si>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</si>
  <si>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</si>
  <si>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</si>
  <si>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</si>
  <si>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</si>
  <si>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</si>
  <si>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</si>
  <si>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</si>
  <si>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</si>
  <si>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</si>
  <si>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</si>
  <si>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</si>
  <si>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</si>
  <si>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</si>
  <si>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</si>
  <si>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</si>
  <si>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</si>
  <si>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</si>
  <si>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</si>
  <si>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</si>
  <si>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</si>
  <si>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</si>
  <si>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</si>
  <si>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</si>
  <si>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</si>
  <si>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</si>
  <si>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</si>
  <si>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</si>
  <si>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</si>
  <si>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</si>
  <si>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</si>
  <si>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</si>
  <si>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</si>
  <si>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</si>
  <si>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</si>
  <si>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</si>
  <si>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</si>
  <si>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</si>
  <si>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</si>
  <si>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</si>
  <si>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</si>
  <si>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</si>
  <si>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</si>
  <si>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</si>
  <si>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</si>
  <si>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</si>
  <si>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</si>
  <si>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</si>
  <si>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</si>
  <si>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</si>
  <si>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</si>
  <si>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</si>
  <si>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</si>
  <si>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</si>
  <si>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</si>
  <si>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</si>
  <si>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</si>
  <si>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</si>
  <si>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</si>
  <si>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</si>
  <si>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</si>
  <si>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</si>
  <si>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</si>
  <si>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</si>
  <si>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</si>
  <si>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</si>
  <si>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</si>
  <si>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</si>
  <si>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</si>
  <si>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</si>
  <si>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</si>
  <si>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</si>
  <si>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</si>
  <si>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</si>
  <si>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</si>
  <si>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</si>
  <si>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</si>
  <si>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</si>
  <si>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</si>
  <si>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</si>
  <si>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</si>
  <si>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</si>
  <si>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</si>
  <si>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</si>
  <si>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</si>
  <si>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</si>
  <si>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</si>
  <si>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</si>
  <si>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</si>
  <si>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</si>
  <si>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</si>
  <si>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</si>
  <si>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</si>
  <si>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</si>
  <si>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</si>
  <si>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</si>
  <si>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</si>
  <si>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</si>
  <si>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</si>
  <si>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</si>
  <si>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</si>
  <si>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</si>
  <si>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</si>
  <si>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</si>
  <si>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</si>
  <si>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</si>
  <si>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</si>
  <si>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</si>
  <si>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</si>
  <si>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</si>
  <si>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</si>
  <si>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</si>
  <si>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</si>
  <si>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</si>
  <si>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</si>
  <si>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</si>
  <si>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</si>
  <si>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</si>
  <si>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</si>
  <si>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</si>
  <si>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</si>
  <si>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</si>
  <si>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</si>
  <si>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</si>
  <si>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</si>
  <si>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</si>
  <si>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</si>
  <si>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</si>
  <si>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</si>
  <si>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</si>
  <si>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</si>
  <si>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</si>
  <si>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</si>
  <si>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</si>
  <si>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</si>
  <si>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</si>
  <si>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</si>
  <si>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</si>
  <si>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</si>
  <si>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</si>
  <si>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</si>
  <si>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</si>
  <si>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</si>
  <si>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</si>
  <si>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</si>
  <si>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</si>
  <si>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</si>
  <si>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</si>
  <si>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</si>
  <si>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</si>
  <si>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</si>
  <si>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</si>
  <si>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</si>
  <si>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</si>
  <si>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</si>
  <si>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</si>
  <si>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</si>
  <si>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</si>
  <si>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</si>
  <si>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</si>
  <si>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</si>
  <si>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</si>
  <si>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</si>
  <si>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</si>
  <si>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</si>
  <si>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</si>
  <si>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</si>
  <si>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</si>
  <si>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</si>
  <si>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</si>
  <si>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</si>
  <si>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</si>
  <si>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</si>
  <si>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</si>
  <si>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</si>
  <si>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</si>
  <si>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</si>
  <si>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</si>
  <si>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</si>
  <si>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</si>
  <si>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</si>
  <si>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</si>
  <si>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</si>
  <si>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</si>
  <si>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</si>
  <si>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</si>
  <si>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</si>
  <si>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</si>
  <si>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</si>
  <si>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</si>
  <si>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</si>
  <si>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</si>
  <si>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</si>
  <si>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</si>
  <si>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</si>
  <si>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</si>
  <si>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</si>
  <si>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</si>
  <si>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</si>
  <si>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</si>
  <si>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</si>
  <si>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</si>
  <si>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</si>
  <si>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</si>
  <si>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</si>
  <si>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</si>
  <si>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</si>
  <si>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</si>
  <si>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</si>
  <si>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</si>
  <si>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</si>
  <si>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</si>
  <si>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</si>
  <si>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</si>
  <si>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</si>
  <si>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</si>
  <si>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</si>
  <si>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</si>
  <si>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</si>
  <si>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</si>
  <si>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</si>
  <si>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</si>
  <si>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</si>
  <si>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</si>
  <si>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</si>
  <si>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</si>
  <si>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</si>
  <si>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</si>
  <si>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</si>
  <si>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</si>
  <si>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</si>
  <si>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</si>
  <si>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</si>
  <si>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</si>
  <si>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</si>
  <si>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</si>
  <si>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</si>
  <si>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</si>
  <si>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</si>
  <si>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</si>
  <si>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</si>
  <si>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</si>
  <si>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</si>
  <si>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</si>
  <si>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</si>
  <si>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</si>
  <si>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</si>
  <si>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</si>
  <si>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</si>
  <si>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</si>
  <si>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</si>
  <si>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</si>
  <si>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</si>
  <si>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</si>
  <si>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</si>
  <si>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</si>
  <si>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</si>
  <si>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</si>
  <si>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</si>
  <si>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</si>
  <si>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</si>
  <si>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</si>
  <si>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</si>
  <si>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</si>
  <si>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</si>
  <si>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</si>
  <si>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</si>
  <si>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</si>
  <si>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</si>
  <si>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</si>
  <si>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</si>
  <si>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</si>
  <si>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</si>
  <si>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</si>
  <si>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</si>
  <si>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</si>
  <si>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</si>
  <si>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</si>
  <si>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</si>
  <si>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</si>
  <si>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</si>
  <si>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</si>
  <si>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</si>
  <si>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</si>
  <si>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</si>
  <si>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</si>
  <si>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</si>
  <si>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</si>
  <si>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</si>
  <si>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</si>
  <si>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</si>
  <si>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</si>
  <si>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</si>
  <si>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</si>
  <si>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</si>
  <si>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</si>
  <si>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</si>
  <si>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</si>
  <si>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</si>
  <si>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</si>
  <si>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</si>
  <si>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</si>
  <si>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</si>
  <si>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</si>
  <si>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</si>
  <si>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</si>
  <si>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</si>
  <si>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</si>
  <si>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</si>
  <si>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</si>
  <si>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</si>
  <si>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</si>
  <si>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</si>
  <si>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</si>
  <si>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</si>
  <si>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</si>
  <si>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</si>
  <si>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</si>
  <si>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</si>
  <si>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</si>
  <si>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</si>
  <si>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</si>
  <si>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</si>
  <si>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</si>
  <si>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</si>
  <si>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</si>
  <si>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</si>
  <si>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</si>
  <si>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</si>
  <si>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</si>
  <si>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</si>
  <si>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</si>
  <si>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</si>
  <si>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</si>
  <si>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</si>
  <si>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</si>
  <si>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</si>
  <si>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</si>
  <si>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</si>
  <si>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</si>
  <si>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</si>
  <si>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</si>
  <si>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</si>
  <si>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</si>
  <si>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</si>
  <si>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</si>
  <si>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</si>
  <si>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</si>
  <si>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</si>
  <si>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</si>
  <si>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</si>
  <si>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</si>
  <si>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</si>
  <si>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</si>
  <si>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</si>
  <si>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</si>
  <si>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</si>
  <si>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</si>
  <si>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</si>
  <si>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</si>
  <si>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</si>
  <si>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</si>
  <si>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</si>
  <si>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</si>
  <si>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</si>
  <si>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</si>
  <si>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</si>
  <si>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</si>
  <si>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</si>
  <si>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</si>
  <si>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</si>
  <si>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</si>
  <si>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</si>
  <si>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</si>
  <si>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</si>
  <si>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</si>
  <si>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</si>
  <si>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</si>
  <si>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</si>
  <si>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</si>
  <si>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</si>
  <si>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</si>
  <si>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</si>
  <si>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</si>
  <si>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</si>
  <si>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</si>
  <si>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</si>
  <si>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</si>
  <si>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</si>
  <si>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</si>
  <si>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</si>
  <si>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</si>
  <si>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</si>
  <si>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</si>
  <si>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</si>
  <si>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</si>
  <si>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</si>
  <si>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</si>
  <si>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</si>
  <si>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</si>
  <si>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</si>
  <si>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</si>
  <si>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</si>
  <si>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</si>
  <si>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</si>
  <si>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</si>
  <si>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</si>
  <si>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</si>
  <si>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</si>
  <si>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</si>
  <si>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</si>
  <si>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</si>
  <si>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</si>
  <si>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</si>
  <si>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</si>
  <si>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</si>
  <si>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</si>
  <si>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</si>
  <si>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</si>
  <si>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</si>
  <si>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</si>
  <si>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</si>
  <si>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</si>
  <si>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</si>
  <si>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</si>
  <si>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</si>
  <si>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</si>
  <si>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</si>
  <si>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</si>
  <si>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</si>
  <si>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</si>
  <si>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</si>
  <si>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</si>
  <si>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</si>
  <si>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</si>
  <si>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</si>
  <si>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</si>
  <si>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</si>
  <si>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</si>
  <si>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</si>
  <si>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</si>
  <si>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</si>
  <si>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</si>
  <si>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</si>
  <si>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</si>
  <si>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</si>
  <si>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</si>
  <si>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</si>
  <si>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</si>
  <si>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</si>
  <si>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</si>
  <si>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</si>
  <si>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</si>
  <si>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</si>
  <si>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</si>
  <si>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</si>
  <si>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</si>
  <si>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</si>
  <si>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</si>
  <si>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</si>
  <si>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</si>
  <si>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</si>
  <si>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</si>
  <si>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</si>
  <si>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</si>
  <si>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</si>
  <si>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</si>
  <si>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</si>
  <si>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</si>
  <si>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</si>
  <si>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</si>
  <si>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</si>
  <si>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</si>
  <si>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</si>
  <si>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</si>
  <si>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</si>
  <si>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</si>
  <si>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</si>
  <si>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</si>
  <si>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</si>
  <si>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</si>
  <si>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</si>
  <si>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</si>
  <si>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</si>
  <si>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</si>
  <si>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</si>
  <si>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</si>
  <si>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</si>
  <si>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</si>
  <si>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</si>
  <si>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</si>
  <si>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</si>
  <si>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</si>
  <si>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</si>
  <si>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</si>
  <si>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</si>
  <si>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</si>
  <si>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</si>
  <si>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</si>
  <si>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</si>
  <si>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</si>
  <si>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</si>
  <si>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</si>
  <si>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</si>
  <si>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</si>
  <si>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</si>
  <si>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</si>
  <si>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</si>
  <si>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</si>
  <si>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</si>
  <si>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</si>
  <si>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</si>
  <si>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</si>
  <si>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</si>
  <si>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</si>
  <si>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</si>
  <si>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</si>
  <si>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</si>
  <si>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</si>
  <si>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</si>
  <si>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</si>
  <si>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</si>
  <si>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</si>
  <si>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</si>
  <si>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</si>
  <si>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</si>
  <si>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</si>
  <si>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</si>
  <si>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</si>
  <si>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</si>
  <si>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</si>
  <si>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</si>
  <si>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</si>
  <si>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</si>
  <si>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</si>
  <si>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</si>
  <si>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</si>
  <si>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</si>
  <si>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</si>
  <si>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</si>
  <si>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</si>
  <si>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</si>
  <si>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</si>
  <si>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</si>
  <si>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</si>
  <si>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</si>
  <si>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</si>
  <si>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</si>
  <si>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</si>
  <si>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</si>
  <si>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</si>
  <si>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</si>
  <si>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</si>
  <si>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</si>
  <si>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</si>
  <si>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</si>
  <si>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</si>
  <si>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</si>
  <si>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</si>
  <si>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</si>
  <si>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</si>
  <si>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</si>
  <si>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</si>
  <si>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</si>
  <si>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</si>
  <si>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</si>
  <si>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</si>
  <si>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</si>
  <si>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</si>
  <si>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</si>
  <si>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</si>
  <si>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</si>
  <si>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</si>
  <si>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</si>
  <si>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</si>
  <si>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</si>
  <si>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</si>
  <si>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</si>
  <si>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</si>
  <si>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</si>
  <si>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</si>
  <si>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</si>
  <si>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</si>
  <si>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</si>
  <si>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</si>
  <si>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</si>
  <si>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</si>
  <si>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</si>
  <si>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</si>
  <si>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</si>
  <si>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</si>
  <si>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</si>
  <si>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</si>
  <si>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</si>
  <si>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</si>
  <si>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</si>
  <si>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</si>
  <si>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</si>
  <si>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</si>
  <si>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</si>
  <si>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</si>
  <si>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</si>
  <si>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</si>
  <si>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</si>
  <si>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</si>
  <si>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</si>
  <si>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</si>
  <si>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</si>
  <si>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</si>
  <si>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</si>
  <si>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</si>
  <si>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</si>
  <si>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</si>
  <si>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</si>
  <si>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</si>
  <si>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</si>
  <si>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</si>
  <si>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</si>
  <si>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</si>
  <si>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</si>
  <si>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</si>
  <si>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</si>
  <si>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</si>
  <si>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</si>
  <si>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</si>
  <si>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</si>
  <si>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</si>
  <si>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</si>
  <si>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</si>
  <si>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</si>
  <si>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</si>
  <si>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</si>
  <si>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</si>
  <si>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</si>
  <si>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</si>
  <si>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</si>
  <si>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</si>
  <si>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</si>
  <si>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</si>
  <si>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</si>
  <si>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</si>
  <si>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</si>
  <si>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</si>
  <si>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</si>
  <si>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</si>
  <si>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</si>
  <si>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</si>
  <si>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</si>
  <si>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</si>
  <si>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</si>
  <si>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</si>
  <si>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</si>
  <si>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</si>
  <si>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</si>
  <si>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</si>
  <si>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</si>
  <si>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</si>
  <si>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</si>
  <si>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</si>
  <si>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</si>
  <si>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</si>
  <si>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</si>
  <si>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</si>
  <si>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</si>
  <si>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</si>
  <si>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</si>
  <si>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</si>
  <si>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</si>
  <si>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</si>
  <si>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</si>
  <si>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</si>
  <si>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</si>
  <si>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</si>
  <si>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</si>
  <si>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</si>
  <si>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</si>
  <si>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</si>
  <si>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</si>
  <si>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</si>
  <si>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</si>
  <si>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</si>
  <si>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</si>
  <si>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</si>
  <si>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</si>
  <si>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</si>
  <si>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</si>
  <si>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</si>
  <si>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</si>
  <si>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</si>
  <si>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</si>
  <si>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</si>
  <si>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</si>
  <si>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</si>
  <si>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</si>
  <si>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</si>
  <si>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</si>
  <si>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</si>
  <si>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</si>
  <si>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</si>
  <si>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</si>
  <si>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</si>
  <si>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</si>
  <si>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</si>
  <si>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</si>
  <si>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</si>
  <si>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</si>
  <si>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</si>
  <si>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</si>
  <si>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</si>
  <si>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</si>
  <si>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</si>
  <si>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</si>
  <si>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</si>
  <si>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</si>
  <si>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</si>
  <si>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</si>
  <si>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</si>
  <si>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</si>
  <si>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</si>
  <si>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</si>
  <si>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</si>
  <si>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</si>
  <si>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</si>
  <si>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</si>
  <si>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</si>
  <si>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</si>
  <si>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</si>
  <si>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</si>
  <si>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</si>
  <si>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</si>
  <si>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</si>
  <si>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</si>
  <si>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</si>
  <si>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</si>
  <si>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</si>
  <si>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</si>
  <si>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</si>
  <si>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</si>
  <si>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</si>
  <si>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</si>
  <si>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</si>
  <si>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</si>
  <si>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</si>
  <si>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</si>
  <si>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</si>
  <si>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</si>
  <si>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</si>
  <si>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</si>
  <si>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</si>
  <si>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</si>
  <si>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</si>
  <si>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</si>
  <si>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</si>
  <si>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</si>
  <si>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</si>
  <si>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</si>
  <si>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</si>
  <si>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</si>
  <si>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</si>
  <si>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</si>
  <si>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</si>
  <si>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</si>
  <si>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</si>
  <si>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</si>
  <si>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</si>
  <si>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</si>
  <si>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</si>
  <si>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</si>
  <si>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</si>
  <si>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</si>
  <si>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</si>
  <si>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</si>
  <si>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</si>
  <si>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</si>
  <si>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</si>
  <si>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</si>
  <si>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</si>
  <si>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</si>
  <si>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</si>
  <si>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</si>
  <si>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</si>
  <si>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</si>
  <si>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</si>
  <si>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</si>
  <si>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</si>
  <si>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</si>
  <si>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</si>
  <si>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</si>
  <si>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</si>
  <si>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</si>
  <si>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</si>
  <si>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</si>
  <si>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</si>
  <si>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</si>
  <si>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</si>
  <si>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</si>
  <si>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</si>
  <si>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</si>
  <si>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</si>
  <si>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</si>
  <si>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</si>
  <si>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</si>
  <si>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</si>
  <si>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</si>
  <si>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</si>
  <si>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</si>
  <si>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</si>
  <si>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</si>
  <si>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</si>
  <si>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</si>
  <si>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</si>
  <si>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</si>
  <si>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</si>
  <si>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</si>
  <si>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</si>
  <si>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</si>
  <si>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</si>
  <si>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</si>
  <si>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</si>
  <si>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</si>
  <si>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</si>
  <si>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</si>
  <si>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</si>
  <si>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</si>
  <si>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</si>
  <si>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</si>
  <si>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</si>
  <si>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</si>
  <si>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</si>
  <si>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</si>
  <si>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</si>
  <si>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</si>
  <si>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</si>
  <si>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</si>
  <si>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</si>
  <si>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</si>
  <si>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</si>
  <si>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</si>
  <si>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</si>
  <si>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</si>
  <si>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</si>
  <si>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</si>
  <si>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</si>
  <si>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</si>
  <si>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</si>
  <si>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</si>
  <si>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</si>
  <si>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</si>
  <si>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</si>
  <si>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</si>
  <si>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</si>
  <si>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</si>
  <si>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</si>
  <si>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</si>
  <si>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</si>
  <si>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</si>
  <si>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</si>
  <si>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</si>
  <si>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</si>
  <si>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</si>
  <si>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</si>
  <si>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</si>
  <si>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</si>
  <si>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</si>
  <si>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</si>
  <si>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</si>
  <si>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</si>
  <si>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</si>
  <si>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</si>
  <si>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</si>
  <si>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</si>
  <si>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</si>
  <si>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</si>
  <si>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</si>
  <si>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</si>
  <si>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</si>
  <si>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</si>
  <si>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</si>
  <si>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</si>
  <si>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</si>
  <si>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</si>
  <si>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</si>
  <si>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</si>
  <si>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</si>
  <si>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</si>
  <si>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</si>
  <si>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</si>
  <si>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</si>
  <si>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</si>
  <si>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</si>
  <si>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</si>
  <si>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</si>
  <si>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</si>
  <si>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</si>
  <si>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</si>
  <si>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</si>
  <si>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</si>
  <si>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</si>
  <si>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</si>
  <si>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</si>
  <si>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</si>
  <si>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</si>
  <si>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</si>
  <si>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</si>
  <si>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</si>
  <si>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</si>
  <si>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</si>
  <si>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</si>
  <si>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</si>
  <si>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</si>
  <si>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</si>
  <si>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</si>
  <si>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</si>
  <si>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</si>
  <si>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</si>
  <si>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</si>
  <si>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</si>
  <si>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</si>
  <si>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</si>
  <si>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</si>
  <si>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</si>
  <si>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</si>
  <si>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</si>
  <si>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</si>
  <si>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</si>
  <si>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</si>
  <si>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</si>
  <si>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</si>
  <si>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</si>
  <si>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</si>
  <si>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</si>
  <si>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</si>
  <si>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Sum of CF_attrition count</t>
  </si>
  <si>
    <t>Total Employee</t>
  </si>
  <si>
    <t>Average Age</t>
  </si>
  <si>
    <t>Attrition Count</t>
  </si>
  <si>
    <t>Active Employees</t>
  </si>
  <si>
    <t>Attrition Rate</t>
  </si>
  <si>
    <t>Average of Job Satisfaction</t>
  </si>
  <si>
    <t>Rating</t>
  </si>
  <si>
    <t>Balance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</si>
</sst>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0"/>
      <color rgb="FF000000"/>
      <name val="Arial"/>
      <scheme val="minor"/>
    </font>
    <font>
      <sz val="10"/>
      <color theme="1"/>
      <name val="Arial"/>
      <scheme val="minor"/>
    </font>
    <font>
      <sz val="10"/>
      <color rgb="FF000000"/>
      <name val="Arial"/>
      <scheme val="minor"/>
    </font>
    <font>
      <sz val="10"/>
      <color rgb="FFFF0000"/>
      <name val="Arial"/>
      <family val="2"/>
      <scheme val="minor"/>
    </font>
    <font>
      <sz val="10"/>
      <color rgb="FF000000"/>
      <name val="Arial"/>
      <family val="2"/>
      <scheme val="minor"/>
    </font>
  </fonts>
  <fills count="3">
    <fill>
      <patternFill patternType="none"/>
    </fill>
    <fill>
      <patternFill patternType="gray125"/>
    </fill>
    <fill>
      <patternFill patternType="solid">
        <fgColor theme="0" tint="-0.249977111117893"/>
        <bgColor indexed="64"/>
      </patternFill>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0" fontId="0" fillId="0" borderId="0" xfId="1" applyNumberFormat="1" applyFont="1"/>
    <xf numFmtId="164" fontId="0" fillId="0" borderId="0" xfId="0" applyNumberFormat="1"/>
    <xf numFmtId="1" fontId="0" fillId="0" borderId="0" xfId="0" applyNumberFormat="1"/>
    <xf numFmtId="0" fontId="0" fillId="2" borderId="0" xfId="0" applyFill="1"/>
    <xf numFmtId="0" fontId="3" fillId="2" borderId="0" xfId="0" applyFont="1" applyFill="1"/>
    <xf numFmtId="164" fontId="0" fillId="0" borderId="3" xfId="0" applyNumberFormat="1" applyBorder="1"/>
    <xf numFmtId="0" fontId="4" fillId="0" borderId="0" xfId="0" applyFont="1"/>
  </cellXfs>
  <cellStyles count="2">
    <cellStyle name="Normal" xfId="0" builtinId="0"/>
    <cellStyle name="Percent" xfId="1" builtinId="5"/>
  </cellStyles>
  <dxfs count="6">
    <dxf>
      <numFmt numFmtId="164" formatCode="0.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
      <tableStyleElement type="firstRowStripe" dxfId="4"/>
      <tableStyleElement type="secondRowStripe" dxfId="3"/>
    </tableStyle>
  </tableStyles>
  <colors>
    <mruColors>
      <color rgb="FF602928"/>
      <color rgb="FF69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81159420289851"/>
          <c:y val="0.20100502512562815"/>
          <c:w val="0.67435724178251888"/>
          <c:h val="0.79899494335580035"/>
        </c:manualLayout>
      </c:layout>
      <c:doughnutChart>
        <c:varyColors val="1"/>
        <c:ser>
          <c:idx val="0"/>
          <c:order val="0"/>
          <c:spPr>
            <a:ln>
              <a:noFill/>
            </a:ln>
          </c:spPr>
          <c:dPt>
            <c:idx val="0"/>
            <c:bubble3D val="0"/>
            <c:spPr>
              <a:solidFill>
                <a:schemeClr val="accent4">
                  <a:lumMod val="75000"/>
                </a:schemeClr>
              </a:solidFill>
              <a:ln w="19050">
                <a:noFill/>
              </a:ln>
              <a:effectLst/>
            </c:spPr>
            <c:extLst>
              <c:ext xmlns:c16="http://schemas.microsoft.com/office/drawing/2014/chart" uri="{C3380CC4-5D6E-409C-BE32-E72D297353CC}">
                <c16:uniqueId val="{00000001-03D3-450C-ABF6-93774F0C8137}"/>
              </c:ext>
            </c:extLst>
          </c:dPt>
          <c:dPt>
            <c:idx val="1"/>
            <c:bubble3D val="0"/>
            <c:spPr>
              <a:solidFill>
                <a:schemeClr val="bg2">
                  <a:alpha val="95000"/>
                </a:schemeClr>
              </a:solidFill>
              <a:ln w="19050">
                <a:noFill/>
              </a:ln>
              <a:effectLst/>
            </c:spPr>
            <c:extLst>
              <c:ext xmlns:c16="http://schemas.microsoft.com/office/drawing/2014/chart" uri="{C3380CC4-5D6E-409C-BE32-E72D297353CC}">
                <c16:uniqueId val="{00000003-03D3-450C-ABF6-93774F0C8137}"/>
              </c:ext>
            </c:extLst>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4-03D3-450C-ABF6-93774F0C813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0-53C7-4B5A-A0D5-966385A9A0E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220980</xdr:colOff>
      <xdr:row>0</xdr:row>
      <xdr:rowOff>137161</xdr:rowOff>
    </xdr:from>
    <xdr:to>
      <xdr:col>8</xdr:col>
      <xdr:colOff>220980</xdr:colOff>
      <xdr:row>6</xdr:row>
      <xdr:rowOff>22861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0AE3F5D-42C6-80B7-99A6-67ADFA0F72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00800" y="13716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93784</xdr:colOff>
      <xdr:row>1</xdr:row>
      <xdr:rowOff>23446</xdr:rowOff>
    </xdr:from>
    <xdr:ext cx="14149753" cy="7838177"/>
    <xdr:grpSp>
      <xdr:nvGrpSpPr>
        <xdr:cNvPr id="2" name="Shape 2">
          <a:extLst>
            <a:ext uri="{FF2B5EF4-FFF2-40B4-BE49-F238E27FC236}">
              <a16:creationId xmlns:a16="http://schemas.microsoft.com/office/drawing/2014/main" id="{D2B1F1F1-28B3-4EF0-89CE-6FDA3F8AC59A}"/>
            </a:ext>
          </a:extLst>
        </xdr:cNvPr>
        <xdr:cNvGrpSpPr/>
      </xdr:nvGrpSpPr>
      <xdr:grpSpPr>
        <a:xfrm>
          <a:off x="2532184" y="187569"/>
          <a:ext cx="14149753" cy="7838177"/>
          <a:chOff x="0" y="60488"/>
          <a:chExt cx="10692000" cy="7439025"/>
        </a:xfrm>
      </xdr:grpSpPr>
      <xdr:grpSp>
        <xdr:nvGrpSpPr>
          <xdr:cNvPr id="3" name="Shape 29">
            <a:extLst>
              <a:ext uri="{FF2B5EF4-FFF2-40B4-BE49-F238E27FC236}">
                <a16:creationId xmlns:a16="http://schemas.microsoft.com/office/drawing/2014/main" id="{F5E25AC9-567E-B591-F2D2-F5F85B24101E}"/>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71631A0F-8723-7845-A4E8-FC1295EDCD7F}"/>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5C066A2C-7596-61D0-BD1D-6845D4440147}"/>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28730E07-E7DA-4699-2439-59B53F460421}"/>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4CC7788-D746-93C7-7AB3-9BE3BB157B93}"/>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C47E7EEC-93C1-5A49-25FD-994CC34A8BF1}"/>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1B4A9969-01F4-67C3-357B-BC6BC4F2500B}"/>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7BCC80A1-B228-F2FB-E4A9-6E27D1E39A19}"/>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41525F32-6599-15EB-49FF-BE2CB643347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0EF6B816-1BFD-AFCA-B7D7-1005B85FFCB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C8A9D996-D74C-0FD2-38F2-317A7AD131E7}"/>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45470155-4A20-9254-EFE0-D7C72F0C5A27}"/>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F4D8FFA9-18DB-94C9-34A3-A2EA75DEC0AE}"/>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E089112E-181A-611A-BDCF-E782A3B9780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131EB917-D432-A048-5121-CD07FF0E28D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048F7F20-DFD0-0A23-1C7F-3040FA63AAD2}"/>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063F4D5B-B251-D446-4214-41003DC4E6BC}"/>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26581DB6-24FE-6C0C-6CED-344B262B47C7}"/>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53E29937-7737-9585-E085-CBF87318B51F}"/>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197150AC-F991-FFC1-A2B9-23A55D743D2E}"/>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EA215947-586A-0C5F-D89A-3A9CFE993453}"/>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5B73C013-3487-8882-6D42-C87EC3B2F26E}"/>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0EB65541-F55B-40E5-B942-34612A3E70CF}"/>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F4B01FE0-FD95-EB3F-B182-22FCF505F5DD}"/>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032629A-49C8-73B1-5184-D9B473772B16}"/>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BAB67C8B-F13E-A16A-C8CB-7F4E34E4084E}"/>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4</xdr:col>
      <xdr:colOff>199293</xdr:colOff>
      <xdr:row>7</xdr:row>
      <xdr:rowOff>93784</xdr:rowOff>
    </xdr:from>
    <xdr:to>
      <xdr:col>8</xdr:col>
      <xdr:colOff>11723</xdr:colOff>
      <xdr:row>10</xdr:row>
      <xdr:rowOff>11723</xdr:rowOff>
    </xdr:to>
    <xdr:sp macro="" textlink="">
      <xdr:nvSpPr>
        <xdr:cNvPr id="29" name="TextBox 28">
          <a:extLst>
            <a:ext uri="{FF2B5EF4-FFF2-40B4-BE49-F238E27FC236}">
              <a16:creationId xmlns:a16="http://schemas.microsoft.com/office/drawing/2014/main" id="{16C1898B-54D3-B326-D2CF-BA0114C1CD93}"/>
            </a:ext>
          </a:extLst>
        </xdr:cNvPr>
        <xdr:cNvSpPr txBox="1"/>
      </xdr:nvSpPr>
      <xdr:spPr>
        <a:xfrm>
          <a:off x="2637693" y="1242646"/>
          <a:ext cx="2250830" cy="41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4" pitchFamily="34" charset="0"/>
              <a:ea typeface="Lato black" panose="020F0502020204030204" pitchFamily="34" charset="0"/>
              <a:cs typeface="Lato black" panose="020F0502020204030204" pitchFamily="34" charset="0"/>
            </a:rPr>
            <a:t>TOTAL</a:t>
          </a:r>
          <a:r>
            <a:rPr lang="en-IN"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a:t>
          </a: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EMPLOYEES</a:t>
          </a:r>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199292</xdr:colOff>
      <xdr:row>9</xdr:row>
      <xdr:rowOff>140677</xdr:rowOff>
    </xdr:from>
    <xdr:to>
      <xdr:col>8</xdr:col>
      <xdr:colOff>93785</xdr:colOff>
      <xdr:row>13</xdr:row>
      <xdr:rowOff>35169</xdr:rowOff>
    </xdr:to>
    <xdr:sp macro="" textlink="KPI!A8">
      <xdr:nvSpPr>
        <xdr:cNvPr id="30" name="TextBox 29">
          <a:extLst>
            <a:ext uri="{FF2B5EF4-FFF2-40B4-BE49-F238E27FC236}">
              <a16:creationId xmlns:a16="http://schemas.microsoft.com/office/drawing/2014/main" id="{F00C2BE9-FD72-A86F-900C-7D8D4A6E2D59}"/>
            </a:ext>
          </a:extLst>
        </xdr:cNvPr>
        <xdr:cNvSpPr txBox="1"/>
      </xdr:nvSpPr>
      <xdr:spPr>
        <a:xfrm>
          <a:off x="2637692" y="1617785"/>
          <a:ext cx="2332893" cy="550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EC5550-9852-4D12-9BB6-E3A77632F25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586154</xdr:colOff>
      <xdr:row>7</xdr:row>
      <xdr:rowOff>93784</xdr:rowOff>
    </xdr:from>
    <xdr:to>
      <xdr:col>11</xdr:col>
      <xdr:colOff>515815</xdr:colOff>
      <xdr:row>9</xdr:row>
      <xdr:rowOff>128954</xdr:rowOff>
    </xdr:to>
    <xdr:sp macro="" textlink="">
      <xdr:nvSpPr>
        <xdr:cNvPr id="85" name="TextBox 84">
          <a:extLst>
            <a:ext uri="{FF2B5EF4-FFF2-40B4-BE49-F238E27FC236}">
              <a16:creationId xmlns:a16="http://schemas.microsoft.com/office/drawing/2014/main" id="{AA68BC63-9376-414D-8B15-BDF58C66EED0}"/>
            </a:ext>
          </a:extLst>
        </xdr:cNvPr>
        <xdr:cNvSpPr txBox="1"/>
      </xdr:nvSpPr>
      <xdr:spPr>
        <a:xfrm>
          <a:off x="5462954" y="1242646"/>
          <a:ext cx="1758461" cy="36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a:t>
          </a:r>
        </a:p>
        <a:p>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586154</xdr:colOff>
      <xdr:row>10</xdr:row>
      <xdr:rowOff>128953</xdr:rowOff>
    </xdr:from>
    <xdr:to>
      <xdr:col>13</xdr:col>
      <xdr:colOff>175846</xdr:colOff>
      <xdr:row>13</xdr:row>
      <xdr:rowOff>105508</xdr:rowOff>
    </xdr:to>
    <xdr:sp macro="" textlink="KPI!B8">
      <xdr:nvSpPr>
        <xdr:cNvPr id="86" name="TextBox 85">
          <a:extLst>
            <a:ext uri="{FF2B5EF4-FFF2-40B4-BE49-F238E27FC236}">
              <a16:creationId xmlns:a16="http://schemas.microsoft.com/office/drawing/2014/main" id="{EC5E8F4B-B2BB-49EA-8DC5-D75D308F8491}"/>
            </a:ext>
          </a:extLst>
        </xdr:cNvPr>
        <xdr:cNvSpPr txBox="1"/>
      </xdr:nvSpPr>
      <xdr:spPr>
        <a:xfrm>
          <a:off x="5462954" y="1770184"/>
          <a:ext cx="2637692" cy="46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21BCC9-FD64-42DB-A1BF-600B6C06684C}" type="TxLink">
            <a:rPr lang="en-US" sz="1000" b="0" i="0" u="none" strike="noStrike">
              <a:solidFill>
                <a:srgbClr val="000000"/>
              </a:solidFill>
              <a:latin typeface="Arial"/>
              <a:ea typeface="Lato black" panose="020F0502020204030203" pitchFamily="34" charset="0"/>
              <a:cs typeface="Arial"/>
            </a:rPr>
            <a:pPr algn="ctr"/>
            <a:t>237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351693</xdr:colOff>
      <xdr:row>10</xdr:row>
      <xdr:rowOff>152399</xdr:rowOff>
    </xdr:from>
    <xdr:to>
      <xdr:col>17</xdr:col>
      <xdr:colOff>433755</xdr:colOff>
      <xdr:row>13</xdr:row>
      <xdr:rowOff>82061</xdr:rowOff>
    </xdr:to>
    <xdr:sp macro="" textlink="KPI!C8">
      <xdr:nvSpPr>
        <xdr:cNvPr id="87" name="TextBox 86">
          <a:extLst>
            <a:ext uri="{FF2B5EF4-FFF2-40B4-BE49-F238E27FC236}">
              <a16:creationId xmlns:a16="http://schemas.microsoft.com/office/drawing/2014/main" id="{DD2A1FD3-7B79-43E1-9C18-C79CC2FC167F}"/>
            </a:ext>
          </a:extLst>
        </xdr:cNvPr>
        <xdr:cNvSpPr txBox="1"/>
      </xdr:nvSpPr>
      <xdr:spPr>
        <a:xfrm>
          <a:off x="8276493" y="1793630"/>
          <a:ext cx="2520462" cy="42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67F521-F761-46CF-B64D-9BEC89A7989C}" type="TxLink">
            <a:rPr lang="en-US" sz="1000" b="0" i="0" u="none" strike="noStrike">
              <a:solidFill>
                <a:srgbClr val="000000"/>
              </a:solidFill>
              <a:latin typeface="Arial"/>
              <a:ea typeface="Lato black" panose="020F0502020204030203" pitchFamily="34" charset="0"/>
              <a:cs typeface="Arial"/>
            </a:rPr>
            <a:pPr algn="ct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164124</xdr:colOff>
      <xdr:row>7</xdr:row>
      <xdr:rowOff>82061</xdr:rowOff>
    </xdr:from>
    <xdr:to>
      <xdr:col>21</xdr:col>
      <xdr:colOff>105508</xdr:colOff>
      <xdr:row>9</xdr:row>
      <xdr:rowOff>140676</xdr:rowOff>
    </xdr:to>
    <xdr:sp macro="" textlink="">
      <xdr:nvSpPr>
        <xdr:cNvPr id="88" name="TextBox 87">
          <a:extLst>
            <a:ext uri="{FF2B5EF4-FFF2-40B4-BE49-F238E27FC236}">
              <a16:creationId xmlns:a16="http://schemas.microsoft.com/office/drawing/2014/main" id="{124519D7-EFD9-4C13-A3F7-CF2149A507CB}"/>
            </a:ext>
          </a:extLst>
        </xdr:cNvPr>
        <xdr:cNvSpPr txBox="1"/>
      </xdr:nvSpPr>
      <xdr:spPr>
        <a:xfrm>
          <a:off x="11136924" y="1230923"/>
          <a:ext cx="1770184" cy="38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4" pitchFamily="34" charset="0"/>
              <a:ea typeface="Lato black" panose="020F0502020204030204" pitchFamily="34" charset="0"/>
              <a:cs typeface="Lato black" panose="020F0502020204030204" pitchFamily="34" charset="0"/>
            </a:rPr>
            <a:t>ATTRITION</a:t>
          </a:r>
          <a:r>
            <a:rPr lang="en-IN"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RATE</a:t>
          </a:r>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363416</xdr:colOff>
      <xdr:row>7</xdr:row>
      <xdr:rowOff>105507</xdr:rowOff>
    </xdr:from>
    <xdr:to>
      <xdr:col>16</xdr:col>
      <xdr:colOff>562708</xdr:colOff>
      <xdr:row>10</xdr:row>
      <xdr:rowOff>11722</xdr:rowOff>
    </xdr:to>
    <xdr:sp macro="" textlink="">
      <xdr:nvSpPr>
        <xdr:cNvPr id="89" name="TextBox 88">
          <a:extLst>
            <a:ext uri="{FF2B5EF4-FFF2-40B4-BE49-F238E27FC236}">
              <a16:creationId xmlns:a16="http://schemas.microsoft.com/office/drawing/2014/main" id="{2D4CCD2F-A5C4-4627-9170-BFA57F438455}"/>
            </a:ext>
          </a:extLst>
        </xdr:cNvPr>
        <xdr:cNvSpPr txBox="1"/>
      </xdr:nvSpPr>
      <xdr:spPr>
        <a:xfrm>
          <a:off x="8288216" y="1254369"/>
          <a:ext cx="2028092" cy="39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4" pitchFamily="34" charset="0"/>
              <a:ea typeface="Lato black" panose="020F0502020204030204" pitchFamily="34" charset="0"/>
              <a:cs typeface="Lato black" panose="020F0502020204030204" pitchFamily="34" charset="0"/>
            </a:rPr>
            <a:t>ACTIVE</a:t>
          </a:r>
          <a:r>
            <a:rPr lang="en-IN"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a:t>
          </a: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EMPLOYEES</a:t>
          </a:r>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492369</xdr:colOff>
      <xdr:row>7</xdr:row>
      <xdr:rowOff>128953</xdr:rowOff>
    </xdr:from>
    <xdr:to>
      <xdr:col>26</xdr:col>
      <xdr:colOff>23446</xdr:colOff>
      <xdr:row>9</xdr:row>
      <xdr:rowOff>93783</xdr:rowOff>
    </xdr:to>
    <xdr:sp macro="" textlink="">
      <xdr:nvSpPr>
        <xdr:cNvPr id="90" name="TextBox 89">
          <a:extLst>
            <a:ext uri="{FF2B5EF4-FFF2-40B4-BE49-F238E27FC236}">
              <a16:creationId xmlns:a16="http://schemas.microsoft.com/office/drawing/2014/main" id="{013C4438-7C1A-44CD-B0E0-13ED4FA601EF}"/>
            </a:ext>
          </a:extLst>
        </xdr:cNvPr>
        <xdr:cNvSpPr txBox="1"/>
      </xdr:nvSpPr>
      <xdr:spPr>
        <a:xfrm>
          <a:off x="13903569" y="1277815"/>
          <a:ext cx="1969477"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4" pitchFamily="34" charset="0"/>
              <a:ea typeface="Lato black" panose="020F0502020204030204" pitchFamily="34" charset="0"/>
              <a:cs typeface="Lato black" panose="020F0502020204030204" pitchFamily="34" charset="0"/>
            </a:rPr>
            <a:t>AVERAGE</a:t>
          </a:r>
          <a:r>
            <a:rPr lang="en-IN" sz="1800" baseline="0">
              <a:solidFill>
                <a:srgbClr val="602928"/>
              </a:solidFill>
              <a:latin typeface="Lato black" panose="020F0502020204030204" pitchFamily="34" charset="0"/>
              <a:ea typeface="Lato black" panose="020F0502020204030204" pitchFamily="34" charset="0"/>
              <a:cs typeface="Lato black" panose="020F0502020204030204" pitchFamily="34" charset="0"/>
            </a:rPr>
            <a:t> AGE</a:t>
          </a:r>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492369</xdr:colOff>
      <xdr:row>10</xdr:row>
      <xdr:rowOff>93784</xdr:rowOff>
    </xdr:from>
    <xdr:to>
      <xdr:col>27</xdr:col>
      <xdr:colOff>82062</xdr:colOff>
      <xdr:row>13</xdr:row>
      <xdr:rowOff>11723</xdr:rowOff>
    </xdr:to>
    <xdr:sp macro="" textlink="KPI!C8">
      <xdr:nvSpPr>
        <xdr:cNvPr id="91" name="TextBox 90">
          <a:extLst>
            <a:ext uri="{FF2B5EF4-FFF2-40B4-BE49-F238E27FC236}">
              <a16:creationId xmlns:a16="http://schemas.microsoft.com/office/drawing/2014/main" id="{A69F3368-C0F0-425D-85ED-DA034E5C9A1F}"/>
            </a:ext>
          </a:extLst>
        </xdr:cNvPr>
        <xdr:cNvSpPr txBox="1"/>
      </xdr:nvSpPr>
      <xdr:spPr>
        <a:xfrm>
          <a:off x="13903569" y="1735015"/>
          <a:ext cx="2637693" cy="41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E924A5-6394-4DA7-8319-2FF81B2ECC76}" type="TxLink">
            <a:rPr lang="en-US" sz="1000" b="0" i="0" u="none" strike="noStrike">
              <a:solidFill>
                <a:srgbClr val="000000"/>
              </a:solidFill>
              <a:latin typeface="Arial"/>
              <a:ea typeface="Lato black" panose="020F0502020204030203" pitchFamily="34" charset="0"/>
              <a:cs typeface="Arial"/>
            </a:rPr>
            <a:pPr algn="ct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175846</xdr:colOff>
      <xdr:row>10</xdr:row>
      <xdr:rowOff>70338</xdr:rowOff>
    </xdr:from>
    <xdr:to>
      <xdr:col>22</xdr:col>
      <xdr:colOff>304799</xdr:colOff>
      <xdr:row>13</xdr:row>
      <xdr:rowOff>46893</xdr:rowOff>
    </xdr:to>
    <xdr:sp macro="" textlink="KPI!E8">
      <xdr:nvSpPr>
        <xdr:cNvPr id="92" name="TextBox 91">
          <a:extLst>
            <a:ext uri="{FF2B5EF4-FFF2-40B4-BE49-F238E27FC236}">
              <a16:creationId xmlns:a16="http://schemas.microsoft.com/office/drawing/2014/main" id="{5CC8547E-BE9B-4E34-8C8E-93ECF42E3064}"/>
            </a:ext>
          </a:extLst>
        </xdr:cNvPr>
        <xdr:cNvSpPr txBox="1"/>
      </xdr:nvSpPr>
      <xdr:spPr>
        <a:xfrm>
          <a:off x="11148646" y="1711569"/>
          <a:ext cx="2567353" cy="46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C83C4B-47D0-44F8-AC1A-CD5ED752CEF5}" type="TxLink">
            <a:rPr lang="en-US" sz="1000" b="0" i="0" u="none" strike="noStrike">
              <a:solidFill>
                <a:srgbClr val="000000"/>
              </a:solidFill>
              <a:latin typeface="Arial"/>
              <a:ea typeface="Lato black" panose="020F0502020204030203" pitchFamily="34" charset="0"/>
              <a:cs typeface="Arial"/>
            </a:rPr>
            <a:pPr algn="ctr"/>
            <a:t>16.12%</a:t>
          </a:fld>
          <a:endPar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8</xdr:col>
      <xdr:colOff>82062</xdr:colOff>
      <xdr:row>8</xdr:row>
      <xdr:rowOff>35169</xdr:rowOff>
    </xdr:from>
    <xdr:to>
      <xdr:col>8</xdr:col>
      <xdr:colOff>417342</xdr:colOff>
      <xdr:row>10</xdr:row>
      <xdr:rowOff>15826</xdr:rowOff>
    </xdr:to>
    <xdr:pic>
      <xdr:nvPicPr>
        <xdr:cNvPr id="93" name="Picture 92">
          <a:extLst>
            <a:ext uri="{FF2B5EF4-FFF2-40B4-BE49-F238E27FC236}">
              <a16:creationId xmlns:a16="http://schemas.microsoft.com/office/drawing/2014/main" id="{72CDB398-B32E-F658-F33B-605A926FE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8862" y="1348154"/>
          <a:ext cx="335280" cy="308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70339</xdr:colOff>
      <xdr:row>8</xdr:row>
      <xdr:rowOff>70338</xdr:rowOff>
    </xdr:from>
    <xdr:to>
      <xdr:col>17</xdr:col>
      <xdr:colOff>489439</xdr:colOff>
      <xdr:row>10</xdr:row>
      <xdr:rowOff>43375</xdr:rowOff>
    </xdr:to>
    <xdr:pic>
      <xdr:nvPicPr>
        <xdr:cNvPr id="94" name="Picture 93">
          <a:extLst>
            <a:ext uri="{FF2B5EF4-FFF2-40B4-BE49-F238E27FC236}">
              <a16:creationId xmlns:a16="http://schemas.microsoft.com/office/drawing/2014/main" id="{33E7250B-B6D8-8D76-3B86-B178DDA3D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3539" y="1383323"/>
          <a:ext cx="419100" cy="301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293078</xdr:colOff>
      <xdr:row>7</xdr:row>
      <xdr:rowOff>117230</xdr:rowOff>
    </xdr:from>
    <xdr:to>
      <xdr:col>13</xdr:col>
      <xdr:colOff>171158</xdr:colOff>
      <xdr:row>10</xdr:row>
      <xdr:rowOff>21687</xdr:rowOff>
    </xdr:to>
    <xdr:pic>
      <xdr:nvPicPr>
        <xdr:cNvPr id="95" name="Picture 94">
          <a:extLst>
            <a:ext uri="{FF2B5EF4-FFF2-40B4-BE49-F238E27FC236}">
              <a16:creationId xmlns:a16="http://schemas.microsoft.com/office/drawing/2014/main" id="{8CF8BF74-D16E-5D77-8E93-E7ABE6428F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08278" y="1266092"/>
          <a:ext cx="487680" cy="396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504093</xdr:colOff>
      <xdr:row>8</xdr:row>
      <xdr:rowOff>46891</xdr:rowOff>
    </xdr:from>
    <xdr:to>
      <xdr:col>22</xdr:col>
      <xdr:colOff>283113</xdr:colOff>
      <xdr:row>10</xdr:row>
      <xdr:rowOff>27548</xdr:rowOff>
    </xdr:to>
    <xdr:pic>
      <xdr:nvPicPr>
        <xdr:cNvPr id="96" name="Picture 95">
          <a:extLst>
            <a:ext uri="{FF2B5EF4-FFF2-40B4-BE49-F238E27FC236}">
              <a16:creationId xmlns:a16="http://schemas.microsoft.com/office/drawing/2014/main" id="{995084F1-CC71-B0F1-418C-E637219C84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05693" y="1359876"/>
          <a:ext cx="388620" cy="308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351693</xdr:colOff>
      <xdr:row>8</xdr:row>
      <xdr:rowOff>35170</xdr:rowOff>
    </xdr:from>
    <xdr:to>
      <xdr:col>27</xdr:col>
      <xdr:colOff>39273</xdr:colOff>
      <xdr:row>9</xdr:row>
      <xdr:rowOff>134230</xdr:rowOff>
    </xdr:to>
    <xdr:pic>
      <xdr:nvPicPr>
        <xdr:cNvPr id="97" name="Picture 96">
          <a:extLst>
            <a:ext uri="{FF2B5EF4-FFF2-40B4-BE49-F238E27FC236}">
              <a16:creationId xmlns:a16="http://schemas.microsoft.com/office/drawing/2014/main" id="{4382E6FB-EC1F-A9E6-E709-D45B0CCEEBF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201293" y="1348155"/>
          <a:ext cx="297180" cy="263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597877</xdr:colOff>
      <xdr:row>2</xdr:row>
      <xdr:rowOff>93784</xdr:rowOff>
    </xdr:from>
    <xdr:to>
      <xdr:col>19</xdr:col>
      <xdr:colOff>102577</xdr:colOff>
      <xdr:row>6</xdr:row>
      <xdr:rowOff>59201</xdr:rowOff>
    </xdr:to>
    <xdr:pic>
      <xdr:nvPicPr>
        <xdr:cNvPr id="98" name="Picture 97">
          <a:extLst>
            <a:ext uri="{FF2B5EF4-FFF2-40B4-BE49-F238E27FC236}">
              <a16:creationId xmlns:a16="http://schemas.microsoft.com/office/drawing/2014/main" id="{49D43686-BB98-29DB-8B0A-ED597802AB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61077" y="422030"/>
          <a:ext cx="723900" cy="621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246184</xdr:colOff>
      <xdr:row>2</xdr:row>
      <xdr:rowOff>35169</xdr:rowOff>
    </xdr:from>
    <xdr:to>
      <xdr:col>17</xdr:col>
      <xdr:colOff>304801</xdr:colOff>
      <xdr:row>6</xdr:row>
      <xdr:rowOff>46893</xdr:rowOff>
    </xdr:to>
    <xdr:sp macro="" textlink="">
      <xdr:nvSpPr>
        <xdr:cNvPr id="99" name="TextBox 98">
          <a:extLst>
            <a:ext uri="{FF2B5EF4-FFF2-40B4-BE49-F238E27FC236}">
              <a16:creationId xmlns:a16="http://schemas.microsoft.com/office/drawing/2014/main" id="{86F50B3A-50EF-9A7D-090A-007624BC1B5E}"/>
            </a:ext>
          </a:extLst>
        </xdr:cNvPr>
        <xdr:cNvSpPr txBox="1"/>
      </xdr:nvSpPr>
      <xdr:spPr>
        <a:xfrm>
          <a:off x="3903784" y="363415"/>
          <a:ext cx="6764217" cy="66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7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4</xdr:col>
      <xdr:colOff>269630</xdr:colOff>
      <xdr:row>2</xdr:row>
      <xdr:rowOff>23446</xdr:rowOff>
    </xdr:from>
    <xdr:to>
      <xdr:col>5</xdr:col>
      <xdr:colOff>410307</xdr:colOff>
      <xdr:row>6</xdr:row>
      <xdr:rowOff>46893</xdr:rowOff>
    </xdr:to>
    <xdr:pic>
      <xdr:nvPicPr>
        <xdr:cNvPr id="100" name="Picture 99">
          <a:extLst>
            <a:ext uri="{FF2B5EF4-FFF2-40B4-BE49-F238E27FC236}">
              <a16:creationId xmlns:a16="http://schemas.microsoft.com/office/drawing/2014/main" id="{068AA53E-7818-0A0C-DBC1-33A9908568B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708030" y="351692"/>
          <a:ext cx="750277" cy="679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117232</xdr:colOff>
      <xdr:row>1</xdr:row>
      <xdr:rowOff>152400</xdr:rowOff>
    </xdr:from>
    <xdr:to>
      <xdr:col>21</xdr:col>
      <xdr:colOff>468924</xdr:colOff>
      <xdr:row>6</xdr:row>
      <xdr:rowOff>82063</xdr:rowOff>
    </xdr:to>
    <xdr:sp macro="" textlink="">
      <xdr:nvSpPr>
        <xdr:cNvPr id="101" name="TextBox 100">
          <a:extLst>
            <a:ext uri="{FF2B5EF4-FFF2-40B4-BE49-F238E27FC236}">
              <a16:creationId xmlns:a16="http://schemas.microsoft.com/office/drawing/2014/main" id="{144ADE30-AD15-6727-5AAE-D5282F6C71B2}"/>
            </a:ext>
          </a:extLst>
        </xdr:cNvPr>
        <xdr:cNvSpPr txBox="1"/>
      </xdr:nvSpPr>
      <xdr:spPr>
        <a:xfrm>
          <a:off x="11699632" y="316523"/>
          <a:ext cx="1570892" cy="750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21</xdr:col>
      <xdr:colOff>351692</xdr:colOff>
      <xdr:row>1</xdr:row>
      <xdr:rowOff>117229</xdr:rowOff>
    </xdr:from>
    <xdr:to>
      <xdr:col>23</xdr:col>
      <xdr:colOff>11723</xdr:colOff>
      <xdr:row>6</xdr:row>
      <xdr:rowOff>93783</xdr:rowOff>
    </xdr:to>
    <xdr:graphicFrame macro="">
      <xdr:nvGraphicFramePr>
        <xdr:cNvPr id="31" name="Chart 30">
          <a:extLst>
            <a:ext uri="{FF2B5EF4-FFF2-40B4-BE49-F238E27FC236}">
              <a16:creationId xmlns:a16="http://schemas.microsoft.com/office/drawing/2014/main" id="{C8C09FC7-6E88-44E3-B7F5-04B58F4C8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445477</xdr:colOff>
      <xdr:row>3</xdr:row>
      <xdr:rowOff>58618</xdr:rowOff>
    </xdr:from>
    <xdr:to>
      <xdr:col>22</xdr:col>
      <xdr:colOff>222738</xdr:colOff>
      <xdr:row>5</xdr:row>
      <xdr:rowOff>35172</xdr:rowOff>
    </xdr:to>
    <xdr:sp macro="" textlink="">
      <xdr:nvSpPr>
        <xdr:cNvPr id="32" name="TextBox 31">
          <a:extLst>
            <a:ext uri="{FF2B5EF4-FFF2-40B4-BE49-F238E27FC236}">
              <a16:creationId xmlns:a16="http://schemas.microsoft.com/office/drawing/2014/main" id="{3C2D78BB-2A5D-8B44-D063-149D48741B5B}"/>
            </a:ext>
          </a:extLst>
        </xdr:cNvPr>
        <xdr:cNvSpPr txBox="1"/>
      </xdr:nvSpPr>
      <xdr:spPr>
        <a:xfrm>
          <a:off x="13247077" y="550987"/>
          <a:ext cx="386861" cy="3048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Latin box"/>
            </a:rPr>
            <a:t>2.6</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1</xdr:row>
      <xdr:rowOff>3810</xdr:rowOff>
    </xdr:from>
    <xdr:to>
      <xdr:col>4</xdr:col>
      <xdr:colOff>533400</xdr:colOff>
      <xdr:row>5</xdr:row>
      <xdr:rowOff>91440</xdr:rowOff>
    </xdr:to>
    <xdr:graphicFrame macro="">
      <xdr:nvGraphicFramePr>
        <xdr:cNvPr id="2" name="Chart 1">
          <a:extLst>
            <a:ext uri="{FF2B5EF4-FFF2-40B4-BE49-F238E27FC236}">
              <a16:creationId xmlns:a16="http://schemas.microsoft.com/office/drawing/2014/main" id="{5F858D90-01EA-67BA-D179-AE57910C5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xdr:row>
      <xdr:rowOff>15240</xdr:rowOff>
    </xdr:from>
    <xdr:to>
      <xdr:col>10</xdr:col>
      <xdr:colOff>0</xdr:colOff>
      <xdr:row>7</xdr:row>
      <xdr:rowOff>160019</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C14561AC-A5C8-FD2D-785B-46B3DBE8651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280660" y="182880"/>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akshayani" refreshedDate="46181.518067708334" createdVersion="8" refreshedVersion="8" minRefreshableVersion="3" recordCount="1470" xr:uid="{935FB7E7-BC39-4F89-8A5A-E6CBF63A8BFF}">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59019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B8B2E-03F5-478D-A549-4A20AFD714ED}"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5600D-BEB9-41CC-B446-89D1223BE926}"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6D333D-D7B9-454E-802D-124147C116FC}" sourceName="Gender">
  <pivotTables>
    <pivotTable tabId="2" name="KPI"/>
  </pivotTables>
  <data>
    <tabular pivotCacheId="13590192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769AE47-BCFB-4ED3-8435-8E96C7D9BE70}" sourceName="Gender">
  <pivotTables>
    <pivotTable tabId="5" name="Rating"/>
  </pivotTables>
  <data>
    <tabular pivotCacheId="135901924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2727A3B-4CDD-442F-9F05-C414AF91225E}" cache="Slicer_Gender" caption="Gende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01DCF4B-2FCB-45AF-9FB9-5E6D06BF3336}" cache="Slicer_Gender1" caption="Gend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88DD-CFB9-47B9-9804-97C57706FD55}">
  <dimension ref="A3:E8"/>
  <sheetViews>
    <sheetView workbookViewId="0">
      <selection activeCell="F19" sqref="F19"/>
    </sheetView>
  </sheetViews>
  <sheetFormatPr defaultRowHeight="13.2" x14ac:dyDescent="0.25"/>
  <cols>
    <col min="1" max="1" width="23.6640625" bestFit="1" customWidth="1"/>
    <col min="2" max="2" width="22" bestFit="1" customWidth="1"/>
    <col min="3" max="3" width="13.6640625" bestFit="1" customWidth="1"/>
    <col min="4" max="4" width="16.6640625" customWidth="1"/>
    <col min="5" max="5" width="14.109375" customWidth="1"/>
  </cols>
  <sheetData>
    <row r="3" spans="1:5" x14ac:dyDescent="0.25">
      <c r="A3" s="2" t="s">
        <v>1554</v>
      </c>
      <c r="B3" s="7" t="s">
        <v>1556</v>
      </c>
      <c r="C3" s="4" t="s">
        <v>1555</v>
      </c>
    </row>
    <row r="4" spans="1:5" x14ac:dyDescent="0.25">
      <c r="A4" s="5">
        <v>1470</v>
      </c>
      <c r="B4" s="8">
        <v>237</v>
      </c>
      <c r="C4" s="6">
        <v>36.923809523809524</v>
      </c>
    </row>
    <row r="7" spans="1:5" x14ac:dyDescent="0.25">
      <c r="A7" t="s">
        <v>1557</v>
      </c>
      <c r="B7" t="s">
        <v>1559</v>
      </c>
      <c r="C7" t="s">
        <v>1558</v>
      </c>
      <c r="D7" t="s">
        <v>1560</v>
      </c>
      <c r="E7" t="s">
        <v>1561</v>
      </c>
    </row>
    <row r="8" spans="1:5" x14ac:dyDescent="0.25">
      <c r="A8">
        <f>GETPIVOTDATA("Count of Employee Number",$A$3)</f>
        <v>1470</v>
      </c>
      <c r="B8">
        <f>GETPIVOTDATA("Sum of CF_attrition count",$A$3)</f>
        <v>237</v>
      </c>
      <c r="C8" s="11">
        <f>GETPIVOTDATA("Average of Age",$A$3)</f>
        <v>36.923809523809524</v>
      </c>
      <c r="D8">
        <f>A8-B8</f>
        <v>1233</v>
      </c>
      <c r="E8" s="9">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26DB-7CC4-4F98-86E3-14D24F56FBC3}">
  <dimension ref="B6"/>
  <sheetViews>
    <sheetView showGridLines="0" tabSelected="1" zoomScale="65" workbookViewId="0">
      <selection activeCell="D16" sqref="D16"/>
    </sheetView>
  </sheetViews>
  <sheetFormatPr defaultRowHeight="13.2" x14ac:dyDescent="0.25"/>
  <cols>
    <col min="1" max="16384" width="8.88671875" style="12"/>
  </cols>
  <sheetData>
    <row r="6" spans="2:2" x14ac:dyDescent="0.25">
      <c r="B6" s="1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5B6E-B04C-4FE5-8274-49C48D4C2EBE}">
  <dimension ref="A3:C7"/>
  <sheetViews>
    <sheetView workbookViewId="0">
      <selection activeCell="I12" sqref="I12"/>
    </sheetView>
  </sheetViews>
  <sheetFormatPr defaultRowHeight="13.2" x14ac:dyDescent="0.25"/>
  <cols>
    <col min="1" max="1" width="23.6640625" bestFit="1" customWidth="1"/>
  </cols>
  <sheetData>
    <row r="3" spans="1:3" x14ac:dyDescent="0.25">
      <c r="A3" s="3" t="s">
        <v>1562</v>
      </c>
    </row>
    <row r="4" spans="1:3" x14ac:dyDescent="0.25">
      <c r="A4" s="14">
        <v>2.5867346938775508</v>
      </c>
    </row>
    <row r="6" spans="1:3" x14ac:dyDescent="0.25">
      <c r="A6" s="15" t="s">
        <v>1563</v>
      </c>
      <c r="B6" s="10">
        <f>GETPIVOTDATA("Job Satisfaction",$A$3)</f>
        <v>2.5867346938775508</v>
      </c>
      <c r="C6">
        <f>B6/4</f>
        <v>0.64668367346938771</v>
      </c>
    </row>
    <row r="7" spans="1:3" x14ac:dyDescent="0.25">
      <c r="A7" s="15" t="s">
        <v>1564</v>
      </c>
      <c r="B7" s="10">
        <f>4-GETPIVOTDATA("Job Satisfaction",$A$3)</f>
        <v>1.4132653061224492</v>
      </c>
      <c r="C7">
        <f>B7/4</f>
        <v>0.35331632653061229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7" sqref="E7"/>
    </sheetView>
  </sheetViews>
  <sheetFormatPr defaultColWidth="12.6640625" defaultRowHeight="15.75" customHeight="1" x14ac:dyDescent="0.25"/>
  <cols>
    <col min="1" max="1" width="11" customWidth="1"/>
    <col min="2" max="2" width="17.33203125" customWidth="1"/>
    <col min="3" max="3" width="15" customWidth="1"/>
    <col min="4" max="4" width="19.77734375" customWidth="1"/>
    <col min="5" max="5" width="14.33203125" customWidth="1"/>
    <col min="6" max="6" width="17.33203125" customWidth="1"/>
    <col min="7" max="7" width="10.109375" customWidth="1"/>
    <col min="8" max="8" width="20.33203125" customWidth="1"/>
    <col min="9" max="9" width="9.6640625" customWidth="1"/>
    <col min="10" max="10" width="26.21875" customWidth="1"/>
    <col min="11" max="11" width="16.21875" customWidth="1"/>
    <col min="12" max="12" width="12.6640625" customWidth="1"/>
    <col min="13" max="13" width="9.6640625" customWidth="1"/>
    <col min="14" max="14" width="25.6640625" customWidth="1"/>
    <col min="15" max="17" width="9.6640625" customWidth="1"/>
    <col min="18" max="18" width="20.109375" customWidth="1"/>
    <col min="19" max="19" width="21" customWidth="1"/>
    <col min="20" max="20" width="18.44140625" customWidth="1"/>
    <col min="21" max="21" width="23" customWidth="1"/>
    <col min="22" max="22" width="12.44140625" customWidth="1"/>
    <col min="23" max="23" width="22.6640625" customWidth="1"/>
    <col min="24" max="24" width="18" customWidth="1"/>
    <col min="25" max="25" width="18.44140625" customWidth="1"/>
    <col min="26" max="26" width="26.44140625" customWidth="1"/>
    <col min="27" max="27" width="14" customWidth="1"/>
    <col min="28" max="28" width="18.44140625" customWidth="1"/>
    <col min="29" max="29" width="11.44140625" customWidth="1"/>
    <col min="30" max="30" width="17.6640625" customWidth="1"/>
    <col min="31" max="31" width="18.33203125" customWidth="1"/>
    <col min="32" max="32" width="15.77734375" customWidth="1"/>
    <col min="33" max="33" width="26.44140625" customWidth="1"/>
    <col min="34" max="34" width="21.109375" customWidth="1"/>
    <col min="35" max="35" width="21.44140625" customWidth="1"/>
    <col min="36" max="36" width="26.21875" customWidth="1"/>
    <col min="37" max="37" width="17.6640625" customWidth="1"/>
    <col min="38" max="38" width="20.44140625" customWidth="1"/>
    <col min="39" max="39" width="21.88671875" customWidth="1"/>
    <col min="40" max="40" width="19.77734375" customWidth="1"/>
    <col min="41" max="41" width="20.109375" customWidth="1"/>
    <col min="42" max="42" width="22.88671875" customWidth="1"/>
    <col min="43" max="43" width="28.33203125" customWidth="1"/>
    <col min="44" max="44" width="26.6640625" customWidth="1"/>
  </cols>
  <sheetData>
    <row r="1" spans="1:44"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3.2"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3.2"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3.2"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3.2"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3.2"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3.2"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3.2"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3.2"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3.2"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3.2"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3.2"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3.2"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3.2"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3.2"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3.2"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3.2"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3.2"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3.2"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3.2"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3.2"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3.2"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3.2"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3.2"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3.2"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3.2"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3.2"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3.2"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3.2"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3.2"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3.2"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3.2"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3.2"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3.2"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3.2"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3.2"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3.2"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3.2"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3.2"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3.2"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3.2"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3.2"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3.2"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3.2"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3.2"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3.2"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3.2"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3.2"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3.2"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3.2"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3.2"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3.2"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3.2"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3.2"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3.2"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3.2"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3.2"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3.2"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3.2"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3.2"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3.2"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3.2"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3.2"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3.2"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3.2"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3.2"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3.2"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3.2"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3.2"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3.2"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3.2"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3.2"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3.2"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3.2"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3.2"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3.2"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3.2"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3.2"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3.2"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3.2"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3.2"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3.2"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3.2"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3.2"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3.2"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3.2"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3.2"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3.2"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3.2"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3.2"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3.2"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3.2"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3.2"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3.2"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3.2"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3.2"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3.2"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3.2"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3.2"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3.2"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3.2"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3.2"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3.2"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3.2"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3.2"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3.2"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3.2"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3.2"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3.2"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3.2"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3.2"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3.2"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3.2"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3.2"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3.2"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3.2"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3.2"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3.2"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3.2"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3.2"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3.2"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3.2"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3.2"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3.2"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3.2"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3.2"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3.2"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3.2"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3.2"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3.2"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3.2"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3.2"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3.2"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3.2"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3.2"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3.2"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3.2"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3.2"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3.2"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3.2"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3.2"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3.2"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3.2"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3.2"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3.2"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3.2"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3.2"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3.2"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3.2"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3.2"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3.2"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3.2"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3.2"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3.2"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3.2"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3.2"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3.2"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3.2"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3.2"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3.2"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3.2"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3.2"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3.2"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3.2"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3.2"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3.2"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3.2"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3.2"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3.2"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3.2"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3.2"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3.2"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3.2"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3.2"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3.2"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3.2"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3.2"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3.2"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3.2"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3.2"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3.2"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3.2"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3.2"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3.2"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3.2"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3.2"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3.2"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3.2"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3.2"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3.2"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3.2"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3.2"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3.2"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3.2"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3.2"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3.2"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3.2"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3.2"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3.2"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3.2"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3.2"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3.2"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3.2"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3.2"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3.2"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3.2"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3.2"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3.2"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3.2"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3.2"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3.2"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3.2"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3.2"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3.2"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3.2"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3.2"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3.2"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3.2"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3.2"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3.2"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3.2"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3.2"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3.2"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3.2"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3.2"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3.2"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3.2"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3.2"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3.2"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3.2"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3.2"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3.2"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3.2"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3.2"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3.2"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3.2"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3.2"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3.2"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3.2"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3.2"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3.2"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3.2"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3.2"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3.2"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3.2"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3.2"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3.2"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3.2"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3.2"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3.2"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3.2"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3.2"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3.2"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3.2"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3.2"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3.2"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3.2"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3.2"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3.2"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3.2"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3.2"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3.2"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3.2"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3.2"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3.2"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3.2"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3.2"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3.2"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3.2"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3.2"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3.2"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3.2"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3.2"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3.2"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3.2"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3.2"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3.2"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3.2"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3.2"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3.2"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3.2"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3.2"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3.2"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3.2"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3.2"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3.2"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3.2"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3.2"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3.2"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3.2"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3.2"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3.2"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3.2"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3.2"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3.2"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3.2"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3.2"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3.2"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3.2"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3.2"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3.2"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3.2"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3.2"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3.2"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3.2"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3.2"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3.2"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3.2"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3.2"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3.2"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3.2"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3.2"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3.2"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3.2"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3.2"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3.2"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3.2"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3.2"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3.2"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3.2"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3.2"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3.2"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3.2"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3.2"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3.2"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3.2"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3.2"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3.2"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3.2"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3.2"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3.2"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3.2"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3.2"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3.2"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3.2"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3.2"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3.2"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3.2"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3.2"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3.2"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3.2"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3.2"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3.2"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3.2"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3.2"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3.2"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3.2"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3.2"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3.2"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3.2"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3.2"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3.2"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3.2"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3.2"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3.2"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3.2"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3.2"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3.2"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3.2"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3.2"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3.2"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3.2"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3.2"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3.2"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3.2"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3.2"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3.2"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3.2"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3.2"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3.2"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3.2"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3.2"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3.2"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3.2"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3.2"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3.2"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3.2"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3.2"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3.2"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3.2"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3.2"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3.2"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3.2"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3.2"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3.2"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3.2"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3.2"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3.2"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3.2"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3.2"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3.2"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3.2"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3.2"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3.2"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3.2"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3.2"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3.2"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3.2"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3.2"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3.2"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3.2"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3.2"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3.2"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3.2"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3.2"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3.2"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3.2"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3.2"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3.2"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3.2"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3.2"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3.2"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3.2"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3.2"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3.2"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3.2"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3.2"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3.2"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3.2"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3.2"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3.2"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3.2"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3.2"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3.2"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3.2"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3.2"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3.2"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3.2"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3.2"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3.2"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3.2"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3.2"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3.2"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3.2"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3.2"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3.2"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3.2"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3.2"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3.2"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3.2"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3.2"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3.2"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3.2"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3.2"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3.2"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3.2"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3.2"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3.2"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3.2"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3.2"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3.2"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3.2"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3.2"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3.2"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3.2"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3.2"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3.2"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3.2"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3.2"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3.2"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3.2"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3.2"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3.2"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3.2"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3.2"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3.2"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3.2"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3.2"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3.2"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3.2"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3.2"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3.2"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3.2"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3.2"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3.2"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3.2"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3.2"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3.2"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3.2"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3.2"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3.2"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3.2"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3.2"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3.2"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3.2"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3.2"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3.2"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3.2"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3.2"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3.2"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3.2"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3.2"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3.2"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3.2"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3.2"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3.2"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3.2"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3.2"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3.2"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3.2"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3.2"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3.2"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3.2"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3.2"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3.2"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3.2"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3.2"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3.2"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3.2"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3.2"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3.2"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3.2"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3.2"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3.2"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3.2"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3.2"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3.2"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3.2"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3.2"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3.2"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3.2"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3.2"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3.2"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3.2"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3.2"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3.2"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3.2"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3.2"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3.2"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3.2"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3.2"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3.2"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3.2"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3.2"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3.2"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3.2"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3.2"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3.2"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3.2"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3.2"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3.2"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3.2"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3.2"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3.2"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3.2"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3.2"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3.2"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3.2"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3.2"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3.2"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3.2"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3.2"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3.2"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3.2"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3.2"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3.2"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3.2"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3.2"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3.2"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3.2"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3.2"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3.2"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3.2"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3.2"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3.2"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3.2"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3.2"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3.2"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3.2"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3.2"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3.2"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3.2"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3.2"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3.2"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3.2"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3.2"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3.2"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3.2"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3.2"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3.2"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3.2"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3.2"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3.2"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3.2"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3.2"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3.2"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3.2"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3.2"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3.2"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3.2"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3.2"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3.2"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3.2"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3.2"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3.2"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3.2"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3.2"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3.2"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3.2"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3.2"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3.2"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3.2"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3.2"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3.2"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3.2"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3.2"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3.2"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3.2"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3.2"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3.2"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3.2"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3.2"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3.2"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3.2"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3.2"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3.2"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3.2"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3.2"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3.2"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3.2"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3.2"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3.2"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3.2"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3.2"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3.2"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3.2"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3.2"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3.2"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3.2"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3.2"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3.2"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3.2"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3.2"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3.2"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3.2"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3.2"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3.2"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3.2"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3.2"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3.2"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3.2"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3.2"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3.2"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3.2"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3.2"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3.2"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3.2"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3.2"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3.2"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3.2"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3.2"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3.2"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3.2"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3.2"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3.2"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3.2"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3.2"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3.2"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3.2"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3.2"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3.2"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3.2"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3.2"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3.2"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3.2"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3.2"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3.2"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3.2"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3.2"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3.2"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3.2"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3.2"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3.2"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3.2"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3.2"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3.2"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3.2"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3.2"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3.2"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3.2"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3.2"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3.2"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3.2"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3.2"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3.2"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3.2"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3.2"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3.2"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3.2"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3.2"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3.2"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3.2"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3.2"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3.2"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3.2"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3.2"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3.2"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3.2"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3.2"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3.2"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3.2"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3.2"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3.2"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3.2"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3.2"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3.2"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3.2"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3.2"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3.2"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3.2"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3.2"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3.2"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3.2"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3.2"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3.2"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3.2"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3.2"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3.2"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3.2"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3.2"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3.2"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3.2"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3.2"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3.2"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3.2"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3.2"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3.2"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3.2"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3.2"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3.2"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3.2"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3.2"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3.2"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3.2"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3.2"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3.2"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3.2"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3.2"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3.2"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3.2"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3.2"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3.2"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3.2"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3.2"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3.2"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3.2"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3.2"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3.2"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3.2"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3.2"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3.2"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3.2"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3.2"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3.2"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3.2"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3.2"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3.2"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3.2"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3.2"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3.2"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3.2"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3.2"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3.2"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3.2"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3.2"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3.2"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3.2"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3.2"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3.2"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3.2"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3.2"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3.2"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3.2"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3.2"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3.2"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3.2"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3.2"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3.2"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3.2"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3.2"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3.2"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3.2"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3.2"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3.2"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3.2"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3.2"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3.2"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3.2"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3.2"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3.2"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3.2"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3.2"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3.2"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3.2"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3.2"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3.2"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3.2"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3.2"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3.2"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3.2"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3.2"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3.2"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3.2"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3.2"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3.2"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3.2"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3.2"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3.2"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3.2"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3.2"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3.2"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3.2"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3.2"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3.2"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3.2"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3.2"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3.2"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3.2"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3.2"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3.2"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3.2"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3.2"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3.2"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3.2"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3.2"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3.2"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3.2"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3.2"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3.2"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3.2"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3.2"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3.2"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3.2"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3.2"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3.2"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3.2"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3.2"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3.2"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3.2"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3.2"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3.2"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3.2"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3.2"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3.2"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3.2"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3.2"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3.2"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3.2"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3.2"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3.2"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3.2"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3.2"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3.2"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3.2"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3.2"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3.2"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3.2"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3.2"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3.2"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3.2"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3.2"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3.2"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3.2"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3.2"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3.2"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3.2"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3.2"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3.2"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3.2"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3.2"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3.2"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3.2"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3.2"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3.2"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3.2"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3.2"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3.2"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3.2"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3.2"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3.2"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3.2"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3.2"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3.2"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3.2"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3.2"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3.2"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3.2"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3.2"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3.2"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3.2"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3.2"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3.2"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3.2"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3.2"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3.2"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3.2"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3.2"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3.2"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3.2"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3.2"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3.2"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3.2"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3.2"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3.2"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3.2"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3.2"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3.2"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3.2"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3.2"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3.2"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3.2"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3.2"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3.2"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3.2"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3.2"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3.2"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3.2"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3.2"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3.2"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3.2"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3.2"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3.2"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3.2"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3.2"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3.2"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3.2"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3.2"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3.2"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3.2"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3.2"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3.2"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3.2"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3.2"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3.2"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3.2"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3.2"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3.2"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3.2"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3.2"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3.2"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3.2"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3.2"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3.2"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3.2"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3.2"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3.2"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3.2"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3.2"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3.2"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3.2"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3.2"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3.2"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3.2"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3.2"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3.2"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3.2"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3.2"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3.2"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3.2"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3.2"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3.2"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3.2"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3.2"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3.2"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3.2"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3.2"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3.2"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3.2"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3.2"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3.2"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3.2"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3.2"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3.2"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3.2"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3.2"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3.2"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3.2"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3.2"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3.2"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3.2"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3.2"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3.2"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3.2"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3.2"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3.2"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3.2"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3.2"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3.2"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3.2"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3.2"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3.2"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3.2"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3.2"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3.2"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3.2"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3.2"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3.2"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3.2"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3.2"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3.2"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3.2"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3.2"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3.2"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3.2"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3.2"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3.2"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3.2"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3.2"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3.2"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3.2"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3.2"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3.2"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3.2"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3.2"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3.2"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3.2"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3.2"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3.2"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3.2"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3.2"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3.2"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3.2"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3.2"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3.2"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3.2"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3.2"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3.2"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3.2"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3.2"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3.2"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3.2"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3.2"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3.2"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3.2"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3.2"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3.2"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3.2"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3.2"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3.2"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3.2"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3.2"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3.2"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3.2"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3.2"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3.2"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3.2"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3.2"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3.2"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3.2"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3.2"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3.2"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3.2"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3.2"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3.2"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3.2"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3.2"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3.2"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3.2"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3.2"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3.2"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3.2"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3.2"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3.2"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3.2"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3.2"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3.2"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3.2"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3.2"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3.2"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3.2"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3.2"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3.2"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3.2"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3.2"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3.2"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3.2"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3.2"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3.2"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3.2"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3.2"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3.2"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3.2"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3.2"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3.2"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3.2"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3.2"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3.2"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3.2"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3.2"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3.2"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3.2"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3.2"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3.2"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3.2"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3.2"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3.2"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3.2"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3.2"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3.2"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3.2"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3.2"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3.2"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3.2"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3.2"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3.2"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3.2"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3.2"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3.2"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3.2"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3.2"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3.2"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3.2"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3.2"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3.2"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3.2"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3.2"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3.2"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3.2"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3.2"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3.2"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3.2"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3.2"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3.2"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3.2"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3.2"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3.2"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3.2"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3.2"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3.2"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3.2"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3.2"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3.2"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3.2"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3.2"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3.2"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3.2"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3.2"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3.2"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3.2"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3.2"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3.2"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3.2"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3.2"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3.2"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3.2"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3.2"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3.2"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3.2"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3.2"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3.2"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3.2"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3.2"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3.2"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3.2"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3.2"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3.2"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3.2"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3.2"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3.2"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3.2"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3.2"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3.2"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3.2"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3.2"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3.2"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3.2"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3.2"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3.2"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3.2"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3.2"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3.2"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3.2"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3.2"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3.2"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3.2"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3.2"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3.2"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3.2"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3.2"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3.2"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3.2"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3.2"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3.2"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3.2"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3.2"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3.2"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3.2"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3.2"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3.2"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3.2"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3.2"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3.2"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3.2"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3.2"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3.2"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3.2"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3.2"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3.2"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3.2"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3.2"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3.2"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3.2"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3.2"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3.2"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3.2"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3.2"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3.2"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3.2"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3.2"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3.2"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3.2"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3.2"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3.2"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3.2"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3.2"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3.2"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3.2"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3.2"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3.2"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3.2"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3.2"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3.2"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3.2"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3.2"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3.2"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3.2"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3.2"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3.2"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3.2"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3.2"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3.2"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3.2"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3.2"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3.2"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3.2"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3.2"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3.2"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3.2"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3.2"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3.2"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3.2"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3.2"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3.2"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3.2"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3.2"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3.2"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3.2"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3.2"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3.2"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3.2"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3.2"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3.2"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3.2"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3.2"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3.2"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3.2"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3.2"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3.2"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3.2"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3.2"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3.2"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3.2"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3.2"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3.2"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3.2"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3.2"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3.2"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3.2"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3.2"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3.2"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3.2"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3.2"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3.2"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3.2"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3.2"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3.2"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3.2"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3.2"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3.2"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3.2"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3.2"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3.2"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3.2"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3.2"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3.2"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3.2"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3.2"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3.2"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3.2"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3.2"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3.2"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3.2"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3.2"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3.2"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3.2"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3.2"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3.2"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3.2"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3.2"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3.2"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3.2"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3.2"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3.2"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3.2"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3.2"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3.2"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3.2"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3.2"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3.2"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3.2"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3.2"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3.2"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3.2"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3.2"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3.2"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3.2"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3.2"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3.2"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3.2"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3.2"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3.2"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3.2"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3.2"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3.2"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3.2"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3.2"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3.2"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3.2"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3.2"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3.2"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3.2"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3.2"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3.2"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3.2"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3.2"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3.2"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3.2"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3.2"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3.2"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3.2"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3.2"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3.2"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3.2"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3.2"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3.2"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3.2"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3.2"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3.2"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3.2"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3.2"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3.2"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3.2"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3.2"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3.2"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3.2"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3.2"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3.2"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3.2"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3.2"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3.2"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3.2"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3.2"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3.2"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3.2"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3.2"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3.2"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3.2"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3.2"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3.2"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3.2"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3.2"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3.2"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3.2"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3.2"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3.2"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3.2"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3.2"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3.2"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3.2"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3.2"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3.2"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3.2"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3.2"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3.2"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3.2"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3.2"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3.2"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3.2"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3.2"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3.2"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3.2"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3.2"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3.2"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3.2"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3.2"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3.2"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3.2"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3.2"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3.2"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3.2"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3.2"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3.2"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3.2"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3.2"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3.2"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3.2"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3.2"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3.2"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3.2"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3.2"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3.2"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3.2"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3.2"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3.2"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3.2"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3.2"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3.2"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3.2"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3.2"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3.2"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3.2"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3.2"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3.2"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3.2"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3.2"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3.2"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3.2"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3.2"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3.2"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3.2"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3.2"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3.2"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3.2"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3.2"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3.2"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3.2"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3.2"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3.2"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3.2"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3.2"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3.2"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3.2"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3.2"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3.2"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3.2"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3.2"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3.2"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3.2"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3.2"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3.2"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3.2"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3.2"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Sheet2</vt:lpstr>
      <vt:lpstr>Rating</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Drakshayani</dc:creator>
  <cp:lastModifiedBy>drakshayanikumbar05@gmail.com</cp:lastModifiedBy>
  <dcterms:created xsi:type="dcterms:W3CDTF">2026-06-08T11:10:15Z</dcterms:created>
  <dcterms:modified xsi:type="dcterms:W3CDTF">2026-06-09T16:42:09Z</dcterms:modified>
</cp:coreProperties>
</file>